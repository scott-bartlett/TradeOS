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VAC Price List" sheetId="1" state="visible" r:id="rId3"/>
    <sheet name="Job Templates" sheetId="2" state="visible" r:id="rId4"/>
    <sheet name="Calloway Demo Ord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<sst xmlns="http://schemas.openxmlformats.org/spreadsheetml/2006/main" count="397" uniqueCount="203">
  <si>
    <t xml:space="preserve">TradeOS — HVAC Supply Price List  |  Johnstone Supply  |  Demo Data</t>
  </si>
  <si>
    <t xml:space="preserve">Prices effective: Jan 2025  |  Demo only — not real supplier pricing  |  Update with actual Johnstone pricing before pilot</t>
  </si>
  <si>
    <t xml:space="preserve">SKU</t>
  </si>
  <si>
    <t xml:space="preserve">Description</t>
  </si>
  <si>
    <t xml:space="preserve">Category</t>
  </si>
  <si>
    <t xml:space="preserve">Unit</t>
  </si>
  <si>
    <t xml:space="preserve">Unit Cost</t>
  </si>
  <si>
    <t xml:space="preserve">Markup %</t>
  </si>
  <si>
    <t xml:space="preserve">Customer Price</t>
  </si>
  <si>
    <t xml:space="preserve">── CONDENSERS &amp; SPLIT SYSTEMS ──</t>
  </si>
  <si>
    <t xml:space="preserve">HVAC-CAR-CA16-024</t>
  </si>
  <si>
    <t xml:space="preserve">Carrier CA16NA024 — 2-ton 16 SEER Condenser</t>
  </si>
  <si>
    <t xml:space="preserve">Condensers</t>
  </si>
  <si>
    <t xml:space="preserve">ea</t>
  </si>
  <si>
    <t xml:space="preserve">HVAC-CAR-CA16-036</t>
  </si>
  <si>
    <t xml:space="preserve">Carrier CA16NA036 — 3-ton 16 SEER Condenser</t>
  </si>
  <si>
    <t xml:space="preserve">HVAC-CAR-CA16-048</t>
  </si>
  <si>
    <t xml:space="preserve">Carrier CA16NA048 — 4-ton 16 SEER Condenser</t>
  </si>
  <si>
    <t xml:space="preserve">HVAC-GDM-GSX14-024</t>
  </si>
  <si>
    <t xml:space="preserve">Goodman GSX14-024 — 2-ton 14 SEER Condenser</t>
  </si>
  <si>
    <t xml:space="preserve">HVAC-GDM-GSX14-036</t>
  </si>
  <si>
    <t xml:space="preserve">Goodman GSX14-036 — 3-ton 14 SEER Condenser</t>
  </si>
  <si>
    <t xml:space="preserve">HVAC-LEN-XC16-036</t>
  </si>
  <si>
    <t xml:space="preserve">Lennox XC16-036 — 3-ton 16 SEER Condenser</t>
  </si>
  <si>
    <t xml:space="preserve">── AIR HANDLERS &amp; COILS ──</t>
  </si>
  <si>
    <t xml:space="preserve">HVAC-CAR-FV4C-024</t>
  </si>
  <si>
    <t xml:space="preserve">Carrier FV4CNF002 — 2-ton Air Handler</t>
  </si>
  <si>
    <t xml:space="preserve">Air Handlers</t>
  </si>
  <si>
    <t xml:space="preserve">HVAC-CAR-FV4C-036</t>
  </si>
  <si>
    <t xml:space="preserve">Carrier FV4CNF003 — 3-ton Air Handler</t>
  </si>
  <si>
    <t xml:space="preserve">HVAC-GDM-ARUF-036</t>
  </si>
  <si>
    <t xml:space="preserve">Goodman ARUF36C14 — 3-ton Air Handler</t>
  </si>
  <si>
    <t xml:space="preserve">── REFRIGERANT ──</t>
  </si>
  <si>
    <t xml:space="preserve">HVAC-REF-R410A-25</t>
  </si>
  <si>
    <t xml:space="preserve">R-410A Refrigerant — 25 lb cylinder</t>
  </si>
  <si>
    <t xml:space="preserve">Refrigerant</t>
  </si>
  <si>
    <t xml:space="preserve">cyl</t>
  </si>
  <si>
    <t xml:space="preserve">HVAC-REF-R410A-LB</t>
  </si>
  <si>
    <t xml:space="preserve">R-410A — per pound (field charge)</t>
  </si>
  <si>
    <t xml:space="preserve">lb</t>
  </si>
  <si>
    <t xml:space="preserve">HVAC-REF-R22-REC</t>
  </si>
  <si>
    <t xml:space="preserve">R-22 Recovery Cylinder — 30 lb (empty)</t>
  </si>
  <si>
    <t xml:space="preserve">HVAC-REF-R454B-25</t>
  </si>
  <si>
    <t xml:space="preserve">R-454B Refrigerant — 25 lb cylinder (R-22 replacement)</t>
  </si>
  <si>
    <t xml:space="preserve">── LINE SETS &amp; FITTINGS ──</t>
  </si>
  <si>
    <t xml:space="preserve">HVAC-LS-3878-25</t>
  </si>
  <si>
    <t xml:space="preserve">Line Set 3/8" x 7/8" x 25 ft — pre-charged</t>
  </si>
  <si>
    <t xml:space="preserve">Line Sets</t>
  </si>
  <si>
    <t xml:space="preserve">set</t>
  </si>
  <si>
    <t xml:space="preserve">HVAC-LS-3878-50</t>
  </si>
  <si>
    <t xml:space="preserve">Line Set 3/8" x 7/8" x 50 ft — pre-charged</t>
  </si>
  <si>
    <t xml:space="preserve">HVAC-LS-INS-78</t>
  </si>
  <si>
    <t xml:space="preserve">Line Set Insulation 7/8" (per ft)</t>
  </si>
  <si>
    <t xml:space="preserve">ft</t>
  </si>
  <si>
    <t xml:space="preserve">HVAC-LS-INS-38</t>
  </si>
  <si>
    <t xml:space="preserve">Line Set Insulation 3/8" (per ft)</t>
  </si>
  <si>
    <t xml:space="preserve">HVAC-LS-FLUSH</t>
  </si>
  <si>
    <t xml:space="preserve">Line Set Flush Kit — nitrogen + fittings</t>
  </si>
  <si>
    <t xml:space="preserve">kit</t>
  </si>
  <si>
    <t xml:space="preserve">HVAC-FIT-FLARE</t>
  </si>
  <si>
    <t xml:space="preserve">Flare Fitting Set — 1/4" to 7/8" assorted</t>
  </si>
  <si>
    <t xml:space="preserve">Fittings</t>
  </si>
  <si>
    <t xml:space="preserve">HVAC-FIT-N2</t>
  </si>
  <si>
    <t xml:space="preserve">Nitrogen — purge/pressure test cylinder</t>
  </si>
  <si>
    <t xml:space="preserve">── ELECTRICAL &amp; DISCONNECT ──</t>
  </si>
  <si>
    <t xml:space="preserve">HVAC-EL-DISC-60F</t>
  </si>
  <si>
    <t xml:space="preserve">Disconnect Box — 60A fusible</t>
  </si>
  <si>
    <t xml:space="preserve">Electrical</t>
  </si>
  <si>
    <t xml:space="preserve">HVAC-EL-DISC-60NF</t>
  </si>
  <si>
    <t xml:space="preserve">Disconnect Box — 60A non-fusible</t>
  </si>
  <si>
    <t xml:space="preserve">HVAC-EL-FUSE-40</t>
  </si>
  <si>
    <t xml:space="preserve">Fuses — 40A time-delay (pair)</t>
  </si>
  <si>
    <t xml:space="preserve">pr</t>
  </si>
  <si>
    <t xml:space="preserve">HVAC-EL-FUSE-30</t>
  </si>
  <si>
    <t xml:space="preserve">Fuses — 30A time-delay (pair)</t>
  </si>
  <si>
    <t xml:space="preserve">HVAC-EL-WIRE-10</t>
  </si>
  <si>
    <t xml:space="preserve">10/2 NM-B Wire w/ Ground (per ft)</t>
  </si>
  <si>
    <t xml:space="preserve">HVAC-EL-WIRE-10R</t>
  </si>
  <si>
    <t xml:space="preserve">10/2 NM-B Wire — 50 ft roll</t>
  </si>
  <si>
    <t xml:space="preserve">roll</t>
  </si>
  <si>
    <t xml:space="preserve">── CAPACITORS &amp; COMPONENTS ──</t>
  </si>
  <si>
    <t xml:space="preserve">HVAC-CAP-45-5</t>
  </si>
  <si>
    <t xml:space="preserve">Run Capacitor — 45/5 MFD 370V Dual (most common)</t>
  </si>
  <si>
    <t xml:space="preserve">Capacitors</t>
  </si>
  <si>
    <t xml:space="preserve">HVAC-CAP-35-5</t>
  </si>
  <si>
    <t xml:space="preserve">Run Capacitor — 35/5 MFD 370V Dual</t>
  </si>
  <si>
    <t xml:space="preserve">HVAC-CAP-55-5</t>
  </si>
  <si>
    <t xml:space="preserve">Run Capacitor — 55/5 MFD 370V Dual</t>
  </si>
  <si>
    <t xml:space="preserve">HVAC-CAP-7-5</t>
  </si>
  <si>
    <t xml:space="preserve">Run Capacitor — 7.5 MFD 370V Single (fan motor)</t>
  </si>
  <si>
    <t xml:space="preserve">HVAC-CAP-5</t>
  </si>
  <si>
    <t xml:space="preserve">Run Capacitor — 5 MFD 370V Single</t>
  </si>
  <si>
    <t xml:space="preserve">HVAC-CONT-2P</t>
  </si>
  <si>
    <t xml:space="preserve">Contactor — 2-pole 30A (standard residential)</t>
  </si>
  <si>
    <t xml:space="preserve">Components</t>
  </si>
  <si>
    <t xml:space="preserve">HVAC-CONT-3P</t>
  </si>
  <si>
    <t xml:space="preserve">Contactor — 3-pole 40A</t>
  </si>
  <si>
    <t xml:space="preserve">HVAC-TXVAL-3T</t>
  </si>
  <si>
    <t xml:space="preserve">TXV Expansion Valve — 3-ton R-410A</t>
  </si>
  <si>
    <t xml:space="preserve">HVAC-FDRIER</t>
  </si>
  <si>
    <t xml:space="preserve">Filter Drier — 3/8" sweat (standard)</t>
  </si>
  <si>
    <t xml:space="preserve">HVAC-HPSWITCH</t>
  </si>
  <si>
    <t xml:space="preserve">High Pressure Switch — replacement</t>
  </si>
  <si>
    <t xml:space="preserve">HVAC-LPSWITCH</t>
  </si>
  <si>
    <t xml:space="preserve">Low Pressure Switch — replacement</t>
  </si>
  <si>
    <t xml:space="preserve">── THERMOSTATS &amp; CONTROLS ──</t>
  </si>
  <si>
    <t xml:space="preserve">HVAC-TSTAT-BASIC</t>
  </si>
  <si>
    <t xml:space="preserve">Thermostat — Non-programmable (basic)</t>
  </si>
  <si>
    <t xml:space="preserve">Controls</t>
  </si>
  <si>
    <t xml:space="preserve">HVAC-TSTAT-PROG</t>
  </si>
  <si>
    <t xml:space="preserve">Thermostat — 7-day programmable</t>
  </si>
  <si>
    <t xml:space="preserve">HVAC-TSTAT-SMART</t>
  </si>
  <si>
    <t xml:space="preserve">Thermostat — Smart/WiFi (Honeywell T6)</t>
  </si>
  <si>
    <t xml:space="preserve">HVAC-CTRL-WIRE</t>
  </si>
  <si>
    <t xml:space="preserve">Thermostat Wire — 18/5 (per ft)</t>
  </si>
  <si>
    <t xml:space="preserve">HVAC-CTRL-WIRE50</t>
  </si>
  <si>
    <t xml:space="preserve">Thermostat Wire — 18/5 x 50 ft roll</t>
  </si>
  <si>
    <t xml:space="preserve">── PADS &amp; MOUNTING ──</t>
  </si>
  <si>
    <t xml:space="preserve">HVAC-PAD-STD</t>
  </si>
  <si>
    <t xml:space="preserve">Condenser Pad — composite 24x24</t>
  </si>
  <si>
    <t xml:space="preserve">Mounting</t>
  </si>
  <si>
    <t xml:space="preserve">HVAC-PAD-SHIM</t>
  </si>
  <si>
    <t xml:space="preserve">Pad Shim Set — composite (4-pack)</t>
  </si>
  <si>
    <t xml:space="preserve">HVAC-VIBPAD</t>
  </si>
  <si>
    <t xml:space="preserve">Anti-vibration Pad — 24x24</t>
  </si>
  <si>
    <t xml:space="preserve">HVAC-BOLT-38</t>
  </si>
  <si>
    <t xml:space="preserve">Mounting Bolts — 3/8" lag (4-pack)</t>
  </si>
  <si>
    <t xml:space="preserve">── CONSUMABLES — AUTO-ADD BY JOB TYPE ──</t>
  </si>
  <si>
    <t xml:space="preserve">HVAC-CON-FOIL</t>
  </si>
  <si>
    <t xml:space="preserve">Foil Tape — 2" x 50 ft</t>
  </si>
  <si>
    <t xml:space="preserve">Consumables</t>
  </si>
  <si>
    <t xml:space="preserve">HVAC-CON-MASTIC</t>
  </si>
  <si>
    <t xml:space="preserve">Duct Mastic — 1 qt</t>
  </si>
  <si>
    <t xml:space="preserve">HVAC-CON-ZIP</t>
  </si>
  <si>
    <t xml:space="preserve">UV-rated Zip Ties — 100-pk</t>
  </si>
  <si>
    <t xml:space="preserve">pk</t>
  </si>
  <si>
    <t xml:space="preserve">HVAC-CON-LEAK</t>
  </si>
  <si>
    <t xml:space="preserve">Refrigerant Leak Detector Fluid</t>
  </si>
  <si>
    <t xml:space="preserve">HVAC-CON-NFLUX</t>
  </si>
  <si>
    <t xml:space="preserve">Nitrogen Regulator — rental/day</t>
  </si>
  <si>
    <t xml:space="preserve">day</t>
  </si>
  <si>
    <t xml:space="preserve">HVAC-CON-GAUGES</t>
  </si>
  <si>
    <t xml:space="preserve">Manifold Gauge Set — rental/day</t>
  </si>
  <si>
    <t xml:space="preserve">HVAC-CON-VAC</t>
  </si>
  <si>
    <t xml:space="preserve">Vacuum Pump — rental/day</t>
  </si>
  <si>
    <t xml:space="preserve">TradeOS — HVAC Job Templates  |  Reference for AI Supply List Generation</t>
  </si>
  <si>
    <t xml:space="preserve">These templates seed the AI supply list. AI adds job-specific items on top. Tech confirms before order is placed.</t>
  </si>
  <si>
    <t xml:space="preserve">Job Type</t>
  </si>
  <si>
    <t xml:space="preserve">Default Qty</t>
  </si>
  <si>
    <t xml:space="preserve">Est. Cost</t>
  </si>
  <si>
    <t xml:space="preserve">Notes</t>
  </si>
  <si>
    <t xml:space="preserve">── CONDENSER REPLACEMENT — 3-TON R-410A ──</t>
  </si>
  <si>
    <t xml:space="preserve">Condenser Replace</t>
  </si>
  <si>
    <t xml:space="preserve">Primary unit — adjust SKU to match job</t>
  </si>
  <si>
    <t xml:space="preserve">Full cylinder standard on replacement</t>
  </si>
  <si>
    <t xml:space="preserve">R-22 recovery — always on R-22 units</t>
  </si>
  <si>
    <t xml:space="preserve">Line set flush — R-22 to R-410A transition</t>
  </si>
  <si>
    <t xml:space="preserve">Inspect existing — replace if corroded</t>
  </si>
  <si>
    <t xml:space="preserve">Match new unit MCA</t>
  </si>
  <si>
    <t xml:space="preserve">Always replace on refrigerant system work</t>
  </si>
  <si>
    <t xml:space="preserve">Inspect and level existing pad</t>
  </si>
  <si>
    <t xml:space="preserve">Install on new unit</t>
  </si>
  <si>
    <t xml:space="preserve">Line set weatherproofing</t>
  </si>
  <si>
    <t xml:space="preserve">Line set management</t>
  </si>
  <si>
    <t xml:space="preserve">Post-charge leak check — always</t>
  </si>
  <si>
    <t xml:space="preserve">Pressure test before charge</t>
  </si>
  <si>
    <t xml:space="preserve">── CAPACITOR REPLACEMENT ──</t>
  </si>
  <si>
    <t xml:space="preserve">Capacitor Replace</t>
  </si>
  <si>
    <t xml:space="preserve">Confirm MFD reading before ordering</t>
  </si>
  <si>
    <t xml:space="preserve">Check refrigerant while in system</t>
  </si>
  <si>
    <t xml:space="preserve">── THERMOSTAT REPLACEMENT ──</t>
  </si>
  <si>
    <t xml:space="preserve">Thermostat Replace</t>
  </si>
  <si>
    <t xml:space="preserve">Default to smart — upsell from basic</t>
  </si>
  <si>
    <t xml:space="preserve">Run new wire if existing is degraded</t>
  </si>
  <si>
    <t xml:space="preserve">── SERVICE CALL — NO COOL (DIAGNOSTIC) ──</t>
  </si>
  <si>
    <t xml:space="preserve">No-Cool Service</t>
  </si>
  <si>
    <t xml:space="preserve">Most common no-cool cause — carry always</t>
  </si>
  <si>
    <t xml:space="preserve">Second most common — carry always</t>
  </si>
  <si>
    <t xml:space="preserve">Check refrigerant charge</t>
  </si>
  <si>
    <t xml:space="preserve">Top-off if low — note leak source</t>
  </si>
  <si>
    <t xml:space="preserve">TradeOS — Purchase Order  |  Calloway Residence  |  PO #TOS-2024-0847</t>
  </si>
  <si>
    <t xml:space="preserve">Customer:</t>
  </si>
  <si>
    <t xml:space="preserve">Calloway Residence — 2847 Ridgewood Ct</t>
  </si>
  <si>
    <t xml:space="preserve">Job:</t>
  </si>
  <si>
    <t xml:space="preserve">Goodman CK36-1A condenser replacement — R-22 to R-410A upgrade</t>
  </si>
  <si>
    <t xml:space="preserve">Supplier:</t>
  </si>
  <si>
    <t xml:space="preserve">Johnstone Supply — 4821 Industrial Blvd</t>
  </si>
  <si>
    <t xml:space="preserve">PO Date:</t>
  </si>
  <si>
    <t xml:space="preserve">Tuesday June 17, 2024 — 7:51 PM</t>
  </si>
  <si>
    <t xml:space="preserve">Pickup:</t>
  </si>
  <si>
    <t xml:space="preserve">Thursday June 19, 2024 — 7:30 AM</t>
  </si>
  <si>
    <t xml:space="preserve">Requested by:</t>
  </si>
  <si>
    <t xml:space="preserve">Jamie (Owner) — TradeOS PO auto-generated</t>
  </si>
  <si>
    <t xml:space="preserve">Qty</t>
  </si>
  <si>
    <t xml:space="preserve">Total</t>
  </si>
  <si>
    <t xml:space="preserve">Status</t>
  </si>
  <si>
    <t xml:space="preserve">✅ In stock</t>
  </si>
  <si>
    <t xml:space="preserve">R-22 Recovery Cylinder — 30 lb</t>
  </si>
  <si>
    <t xml:space="preserve">⚠️ Substituted — see note</t>
  </si>
  <si>
    <t xml:space="preserve">Filter Drier — 3/8" sweat</t>
  </si>
  <si>
    <t xml:space="preserve">TOTAL MATERIAL COST  —  Jamie's cost (not shown to customer)</t>
  </si>
  <si>
    <t xml:space="preserve">Order confirmed 7:54 PM</t>
  </si>
  <si>
    <t xml:space="preserve">⚠️  Substitution note: Eaton DPU222RP (60A disconnect) out of stock. Square D QO230L200PG substituted — same specs, same price. Approved by Jamie 7:54 PM.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</si>
</sst>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B4530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b val="true"/>
      <sz val="10"/>
      <color rgb="FF1A6E4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6E45"/>
        <bgColor rgb="FF008080"/>
      </patternFill>
    </fill>
    <fill>
      <patternFill patternType="solid">
        <fgColor rgb="FFFFFBEB"/>
        <bgColor rgb="FFF7F9F7"/>
      </patternFill>
    </fill>
    <fill>
      <patternFill patternType="solid">
        <fgColor rgb="FF2D3748"/>
        <bgColor rgb="FF333333"/>
      </patternFill>
    </fill>
    <fill>
      <patternFill patternType="solid">
        <fgColor rgb="FFF7F9F7"/>
        <bgColor rgb="FFFFFBEB"/>
      </patternFill>
    </fill>
    <fill>
      <patternFill patternType="solid">
        <fgColor rgb="FFFFFFFF"/>
        <bgColor rgb="FFF7F9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E45"/>
      <rgbColor rgb="FFCCCCCC"/>
      <rgbColor rgb="FF808080"/>
      <rgbColor rgb="FF9999FF"/>
      <rgbColor rgb="FF993366"/>
      <rgbColor rgb="FFFFFBEB"/>
      <rgbColor rgb="FFF7F9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D3748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8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15.75" hidden="false" customHeight="true" outlineLevel="0" collapsed="false">
      <c r="A5" s="5" t="s">
        <v>10</v>
      </c>
      <c r="B5" s="5" t="s">
        <v>11</v>
      </c>
      <c r="C5" s="5" t="s">
        <v>12</v>
      </c>
      <c r="D5" s="6" t="s">
        <v>13</v>
      </c>
      <c r="E5" s="7" t="n">
        <v>980</v>
      </c>
      <c r="F5" s="8" t="n">
        <v>0.3</v>
      </c>
      <c r="G5" s="9" t="n">
        <f aca="false">E5*(1+F5)</f>
        <v>1274</v>
      </c>
    </row>
    <row r="6" customFormat="false" ht="15.75" hidden="false" customHeight="true" outlineLevel="0" collapsed="false">
      <c r="A6" s="10" t="s">
        <v>14</v>
      </c>
      <c r="B6" s="10" t="s">
        <v>15</v>
      </c>
      <c r="C6" s="10" t="s">
        <v>12</v>
      </c>
      <c r="D6" s="11" t="s">
        <v>13</v>
      </c>
      <c r="E6" s="12" t="n">
        <v>1240</v>
      </c>
      <c r="F6" s="13" t="n">
        <v>0.3</v>
      </c>
      <c r="G6" s="14" t="n">
        <f aca="false">E6*(1+F6)</f>
        <v>1612</v>
      </c>
    </row>
    <row r="7" customFormat="false" ht="15.75" hidden="false" customHeight="true" outlineLevel="0" collapsed="false">
      <c r="A7" s="5" t="s">
        <v>16</v>
      </c>
      <c r="B7" s="5" t="s">
        <v>17</v>
      </c>
      <c r="C7" s="5" t="s">
        <v>12</v>
      </c>
      <c r="D7" s="6" t="s">
        <v>13</v>
      </c>
      <c r="E7" s="7" t="n">
        <v>1520</v>
      </c>
      <c r="F7" s="8" t="n">
        <v>0.3</v>
      </c>
      <c r="G7" s="9" t="n">
        <f aca="false">E7*(1+F7)</f>
        <v>1976</v>
      </c>
    </row>
    <row r="8" customFormat="false" ht="15.75" hidden="false" customHeight="true" outlineLevel="0" collapsed="false">
      <c r="A8" s="10" t="s">
        <v>18</v>
      </c>
      <c r="B8" s="10" t="s">
        <v>19</v>
      </c>
      <c r="C8" s="10" t="s">
        <v>12</v>
      </c>
      <c r="D8" s="11" t="s">
        <v>13</v>
      </c>
      <c r="E8" s="12" t="n">
        <v>740</v>
      </c>
      <c r="F8" s="13" t="n">
        <v>0.3</v>
      </c>
      <c r="G8" s="14" t="n">
        <f aca="false">E8*(1+F8)</f>
        <v>962</v>
      </c>
    </row>
    <row r="9" customFormat="false" ht="15.75" hidden="false" customHeight="true" outlineLevel="0" collapsed="false">
      <c r="A9" s="5" t="s">
        <v>20</v>
      </c>
      <c r="B9" s="5" t="s">
        <v>21</v>
      </c>
      <c r="C9" s="5" t="s">
        <v>12</v>
      </c>
      <c r="D9" s="6" t="s">
        <v>13</v>
      </c>
      <c r="E9" s="7" t="n">
        <v>920</v>
      </c>
      <c r="F9" s="8" t="n">
        <v>0.3</v>
      </c>
      <c r="G9" s="9" t="n">
        <f aca="false">E9*(1+F9)</f>
        <v>1196</v>
      </c>
    </row>
    <row r="10" customFormat="false" ht="15.75" hidden="false" customHeight="true" outlineLevel="0" collapsed="false">
      <c r="A10" s="10" t="s">
        <v>22</v>
      </c>
      <c r="B10" s="10" t="s">
        <v>23</v>
      </c>
      <c r="C10" s="10" t="s">
        <v>12</v>
      </c>
      <c r="D10" s="11" t="s">
        <v>13</v>
      </c>
      <c r="E10" s="12" t="n">
        <v>1380</v>
      </c>
      <c r="F10" s="13" t="n">
        <v>0.3</v>
      </c>
      <c r="G10" s="14" t="n">
        <f aca="false">E10*(1+F10)</f>
        <v>1794</v>
      </c>
    </row>
    <row r="11" customFormat="false" ht="18" hidden="false" customHeight="true" outlineLevel="0" collapsed="false">
      <c r="A11" s="4" t="s">
        <v>24</v>
      </c>
      <c r="B11" s="4"/>
      <c r="C11" s="4"/>
      <c r="D11" s="4"/>
      <c r="E11" s="4"/>
      <c r="F11" s="4"/>
      <c r="G11" s="4"/>
    </row>
    <row r="12" customFormat="false" ht="15.75" hidden="false" customHeight="true" outlineLevel="0" collapsed="false">
      <c r="A12" s="10" t="s">
        <v>25</v>
      </c>
      <c r="B12" s="10" t="s">
        <v>26</v>
      </c>
      <c r="C12" s="10" t="s">
        <v>27</v>
      </c>
      <c r="D12" s="11" t="s">
        <v>13</v>
      </c>
      <c r="E12" s="12" t="n">
        <v>620</v>
      </c>
      <c r="F12" s="13" t="n">
        <v>0.3</v>
      </c>
      <c r="G12" s="14" t="n">
        <f aca="false">E12*(1+F12)</f>
        <v>806</v>
      </c>
    </row>
    <row r="13" customFormat="false" ht="15.75" hidden="false" customHeight="true" outlineLevel="0" collapsed="false">
      <c r="A13" s="5" t="s">
        <v>28</v>
      </c>
      <c r="B13" s="5" t="s">
        <v>29</v>
      </c>
      <c r="C13" s="5" t="s">
        <v>27</v>
      </c>
      <c r="D13" s="6" t="s">
        <v>13</v>
      </c>
      <c r="E13" s="7" t="n">
        <v>740</v>
      </c>
      <c r="F13" s="8" t="n">
        <v>0.3</v>
      </c>
      <c r="G13" s="9" t="n">
        <f aca="false">E13*(1+F13)</f>
        <v>962</v>
      </c>
    </row>
    <row r="14" customFormat="false" ht="15.75" hidden="false" customHeight="true" outlineLevel="0" collapsed="false">
      <c r="A14" s="10" t="s">
        <v>30</v>
      </c>
      <c r="B14" s="10" t="s">
        <v>31</v>
      </c>
      <c r="C14" s="10" t="s">
        <v>27</v>
      </c>
      <c r="D14" s="11" t="s">
        <v>13</v>
      </c>
      <c r="E14" s="12" t="n">
        <v>560</v>
      </c>
      <c r="F14" s="13" t="n">
        <v>0.3</v>
      </c>
      <c r="G14" s="14" t="n">
        <f aca="false">E14*(1+F14)</f>
        <v>728</v>
      </c>
    </row>
    <row r="15" customFormat="false" ht="18" hidden="false" customHeight="true" outlineLevel="0" collapsed="false">
      <c r="A15" s="4" t="s">
        <v>32</v>
      </c>
      <c r="B15" s="4"/>
      <c r="C15" s="4"/>
      <c r="D15" s="4"/>
      <c r="E15" s="4"/>
      <c r="F15" s="4"/>
      <c r="G15" s="4"/>
    </row>
    <row r="16" customFormat="false" ht="15.75" hidden="false" customHeight="true" outlineLevel="0" collapsed="false">
      <c r="A16" s="10" t="s">
        <v>33</v>
      </c>
      <c r="B16" s="10" t="s">
        <v>34</v>
      </c>
      <c r="C16" s="10" t="s">
        <v>35</v>
      </c>
      <c r="D16" s="11" t="s">
        <v>36</v>
      </c>
      <c r="E16" s="12" t="n">
        <v>148</v>
      </c>
      <c r="F16" s="13" t="n">
        <v>0.3</v>
      </c>
      <c r="G16" s="14" t="n">
        <f aca="false">E16*(1+F16)</f>
        <v>192.4</v>
      </c>
    </row>
    <row r="17" customFormat="false" ht="15.75" hidden="false" customHeight="true" outlineLevel="0" collapsed="false">
      <c r="A17" s="5" t="s">
        <v>37</v>
      </c>
      <c r="B17" s="5" t="s">
        <v>38</v>
      </c>
      <c r="C17" s="5" t="s">
        <v>35</v>
      </c>
      <c r="D17" s="6" t="s">
        <v>39</v>
      </c>
      <c r="E17" s="7" t="n">
        <v>6.2</v>
      </c>
      <c r="F17" s="8" t="n">
        <v>0.3</v>
      </c>
      <c r="G17" s="9" t="n">
        <f aca="false">E17*(1+F17)</f>
        <v>8.06</v>
      </c>
    </row>
    <row r="18" customFormat="false" ht="15.75" hidden="false" customHeight="true" outlineLevel="0" collapsed="false">
      <c r="A18" s="10" t="s">
        <v>40</v>
      </c>
      <c r="B18" s="10" t="s">
        <v>41</v>
      </c>
      <c r="C18" s="10" t="s">
        <v>35</v>
      </c>
      <c r="D18" s="11" t="s">
        <v>13</v>
      </c>
      <c r="E18" s="12" t="n">
        <v>45</v>
      </c>
      <c r="F18" s="13" t="n">
        <v>0.3</v>
      </c>
      <c r="G18" s="14" t="n">
        <f aca="false">E18*(1+F18)</f>
        <v>58.5</v>
      </c>
    </row>
    <row r="19" customFormat="false" ht="15.75" hidden="false" customHeight="true" outlineLevel="0" collapsed="false">
      <c r="A19" s="5" t="s">
        <v>42</v>
      </c>
      <c r="B19" s="5" t="s">
        <v>43</v>
      </c>
      <c r="C19" s="5" t="s">
        <v>35</v>
      </c>
      <c r="D19" s="6" t="s">
        <v>36</v>
      </c>
      <c r="E19" s="7" t="n">
        <v>185</v>
      </c>
      <c r="F19" s="8" t="n">
        <v>0.3</v>
      </c>
      <c r="G19" s="9" t="n">
        <f aca="false">E19*(1+F19)</f>
        <v>240.5</v>
      </c>
    </row>
    <row r="20" customFormat="false" ht="18" hidden="false" customHeight="true" outlineLevel="0" collapsed="false">
      <c r="A20" s="4" t="s">
        <v>44</v>
      </c>
      <c r="B20" s="4"/>
      <c r="C20" s="4"/>
      <c r="D20" s="4"/>
      <c r="E20" s="4"/>
      <c r="F20" s="4"/>
      <c r="G20" s="4"/>
    </row>
    <row r="21" customFormat="false" ht="15.75" hidden="false" customHeight="true" outlineLevel="0" collapsed="false">
      <c r="A21" s="5" t="s">
        <v>45</v>
      </c>
      <c r="B21" s="5" t="s">
        <v>46</v>
      </c>
      <c r="C21" s="5" t="s">
        <v>47</v>
      </c>
      <c r="D21" s="6" t="s">
        <v>48</v>
      </c>
      <c r="E21" s="7" t="n">
        <v>88</v>
      </c>
      <c r="F21" s="8" t="n">
        <v>0.3</v>
      </c>
      <c r="G21" s="9" t="n">
        <f aca="false">E21*(1+F21)</f>
        <v>114.4</v>
      </c>
    </row>
    <row r="22" customFormat="false" ht="15.75" hidden="false" customHeight="true" outlineLevel="0" collapsed="false">
      <c r="A22" s="10" t="s">
        <v>49</v>
      </c>
      <c r="B22" s="10" t="s">
        <v>50</v>
      </c>
      <c r="C22" s="10" t="s">
        <v>47</v>
      </c>
      <c r="D22" s="11" t="s">
        <v>48</v>
      </c>
      <c r="E22" s="12" t="n">
        <v>148</v>
      </c>
      <c r="F22" s="13" t="n">
        <v>0.3</v>
      </c>
      <c r="G22" s="14" t="n">
        <f aca="false">E22*(1+F22)</f>
        <v>192.4</v>
      </c>
    </row>
    <row r="23" customFormat="false" ht="15.75" hidden="false" customHeight="true" outlineLevel="0" collapsed="false">
      <c r="A23" s="5" t="s">
        <v>51</v>
      </c>
      <c r="B23" s="5" t="s">
        <v>52</v>
      </c>
      <c r="C23" s="5" t="s">
        <v>47</v>
      </c>
      <c r="D23" s="6" t="s">
        <v>53</v>
      </c>
      <c r="E23" s="7" t="n">
        <v>0.85</v>
      </c>
      <c r="F23" s="8" t="n">
        <v>0.3</v>
      </c>
      <c r="G23" s="9" t="n">
        <f aca="false">E23*(1+F23)</f>
        <v>1.105</v>
      </c>
    </row>
    <row r="24" customFormat="false" ht="15.75" hidden="false" customHeight="true" outlineLevel="0" collapsed="false">
      <c r="A24" s="10" t="s">
        <v>54</v>
      </c>
      <c r="B24" s="10" t="s">
        <v>55</v>
      </c>
      <c r="C24" s="10" t="s">
        <v>47</v>
      </c>
      <c r="D24" s="11" t="s">
        <v>53</v>
      </c>
      <c r="E24" s="12" t="n">
        <v>0.55</v>
      </c>
      <c r="F24" s="13" t="n">
        <v>0.3</v>
      </c>
      <c r="G24" s="14" t="n">
        <f aca="false">E24*(1+F24)</f>
        <v>0.715</v>
      </c>
    </row>
    <row r="25" customFormat="false" ht="15.75" hidden="false" customHeight="true" outlineLevel="0" collapsed="false">
      <c r="A25" s="5" t="s">
        <v>56</v>
      </c>
      <c r="B25" s="5" t="s">
        <v>57</v>
      </c>
      <c r="C25" s="5" t="s">
        <v>47</v>
      </c>
      <c r="D25" s="6" t="s">
        <v>58</v>
      </c>
      <c r="E25" s="7" t="n">
        <v>38</v>
      </c>
      <c r="F25" s="8" t="n">
        <v>0.3</v>
      </c>
      <c r="G25" s="9" t="n">
        <f aca="false">E25*(1+F25)</f>
        <v>49.4</v>
      </c>
    </row>
    <row r="26" customFormat="false" ht="15.75" hidden="false" customHeight="true" outlineLevel="0" collapsed="false">
      <c r="A26" s="10" t="s">
        <v>59</v>
      </c>
      <c r="B26" s="10" t="s">
        <v>60</v>
      </c>
      <c r="C26" s="10" t="s">
        <v>61</v>
      </c>
      <c r="D26" s="11" t="s">
        <v>48</v>
      </c>
      <c r="E26" s="12" t="n">
        <v>22</v>
      </c>
      <c r="F26" s="13" t="n">
        <v>0.3</v>
      </c>
      <c r="G26" s="14" t="n">
        <f aca="false">E26*(1+F26)</f>
        <v>28.6</v>
      </c>
    </row>
    <row r="27" customFormat="false" ht="15.75" hidden="false" customHeight="true" outlineLevel="0" collapsed="false">
      <c r="A27" s="5" t="s">
        <v>62</v>
      </c>
      <c r="B27" s="5" t="s">
        <v>63</v>
      </c>
      <c r="C27" s="5" t="s">
        <v>61</v>
      </c>
      <c r="D27" s="6" t="s">
        <v>13</v>
      </c>
      <c r="E27" s="7" t="n">
        <v>28</v>
      </c>
      <c r="F27" s="8" t="n">
        <v>0.3</v>
      </c>
      <c r="G27" s="9" t="n">
        <f aca="false">E27*(1+F27)</f>
        <v>36.4</v>
      </c>
    </row>
    <row r="28" customFormat="false" ht="18" hidden="false" customHeight="true" outlineLevel="0" collapsed="false">
      <c r="A28" s="4" t="s">
        <v>64</v>
      </c>
      <c r="B28" s="4"/>
      <c r="C28" s="4"/>
      <c r="D28" s="4"/>
      <c r="E28" s="4"/>
      <c r="F28" s="4"/>
      <c r="G28" s="4"/>
    </row>
    <row r="29" customFormat="false" ht="15.75" hidden="false" customHeight="true" outlineLevel="0" collapsed="false">
      <c r="A29" s="5" t="s">
        <v>65</v>
      </c>
      <c r="B29" s="5" t="s">
        <v>66</v>
      </c>
      <c r="C29" s="5" t="s">
        <v>67</v>
      </c>
      <c r="D29" s="6" t="s">
        <v>13</v>
      </c>
      <c r="E29" s="7" t="n">
        <v>34</v>
      </c>
      <c r="F29" s="8" t="n">
        <v>0.3</v>
      </c>
      <c r="G29" s="9" t="n">
        <f aca="false">E29*(1+F29)</f>
        <v>44.2</v>
      </c>
    </row>
    <row r="30" customFormat="false" ht="15.75" hidden="false" customHeight="true" outlineLevel="0" collapsed="false">
      <c r="A30" s="10" t="s">
        <v>68</v>
      </c>
      <c r="B30" s="10" t="s">
        <v>69</v>
      </c>
      <c r="C30" s="10" t="s">
        <v>67</v>
      </c>
      <c r="D30" s="11" t="s">
        <v>13</v>
      </c>
      <c r="E30" s="12" t="n">
        <v>24</v>
      </c>
      <c r="F30" s="13" t="n">
        <v>0.3</v>
      </c>
      <c r="G30" s="14" t="n">
        <f aca="false">E30*(1+F30)</f>
        <v>31.2</v>
      </c>
    </row>
    <row r="31" customFormat="false" ht="15.75" hidden="false" customHeight="true" outlineLevel="0" collapsed="false">
      <c r="A31" s="5" t="s">
        <v>70</v>
      </c>
      <c r="B31" s="5" t="s">
        <v>71</v>
      </c>
      <c r="C31" s="5" t="s">
        <v>67</v>
      </c>
      <c r="D31" s="6" t="s">
        <v>72</v>
      </c>
      <c r="E31" s="7" t="n">
        <v>8.5</v>
      </c>
      <c r="F31" s="8" t="n">
        <v>0.3</v>
      </c>
      <c r="G31" s="9" t="n">
        <f aca="false">E31*(1+F31)</f>
        <v>11.05</v>
      </c>
    </row>
    <row r="32" customFormat="false" ht="15.75" hidden="false" customHeight="true" outlineLevel="0" collapsed="false">
      <c r="A32" s="10" t="s">
        <v>73</v>
      </c>
      <c r="B32" s="10" t="s">
        <v>74</v>
      </c>
      <c r="C32" s="10" t="s">
        <v>67</v>
      </c>
      <c r="D32" s="11" t="s">
        <v>72</v>
      </c>
      <c r="E32" s="12" t="n">
        <v>6.5</v>
      </c>
      <c r="F32" s="13" t="n">
        <v>0.3</v>
      </c>
      <c r="G32" s="14" t="n">
        <f aca="false">E32*(1+F32)</f>
        <v>8.45</v>
      </c>
    </row>
    <row r="33" customFormat="false" ht="15.75" hidden="false" customHeight="true" outlineLevel="0" collapsed="false">
      <c r="A33" s="5" t="s">
        <v>75</v>
      </c>
      <c r="B33" s="5" t="s">
        <v>76</v>
      </c>
      <c r="C33" s="5" t="s">
        <v>67</v>
      </c>
      <c r="D33" s="6" t="s">
        <v>53</v>
      </c>
      <c r="E33" s="7" t="n">
        <v>0.58</v>
      </c>
      <c r="F33" s="8" t="n">
        <v>0.3</v>
      </c>
      <c r="G33" s="9" t="n">
        <f aca="false">E33*(1+F33)</f>
        <v>0.754</v>
      </c>
    </row>
    <row r="34" customFormat="false" ht="15.75" hidden="false" customHeight="true" outlineLevel="0" collapsed="false">
      <c r="A34" s="10" t="s">
        <v>77</v>
      </c>
      <c r="B34" s="10" t="s">
        <v>78</v>
      </c>
      <c r="C34" s="10" t="s">
        <v>67</v>
      </c>
      <c r="D34" s="11" t="s">
        <v>79</v>
      </c>
      <c r="E34" s="12" t="n">
        <v>32</v>
      </c>
      <c r="F34" s="13" t="n">
        <v>0.3</v>
      </c>
      <c r="G34" s="14" t="n">
        <f aca="false">E34*(1+F34)</f>
        <v>41.6</v>
      </c>
    </row>
    <row r="35" customFormat="false" ht="18" hidden="false" customHeight="true" outlineLevel="0" collapsed="false">
      <c r="A35" s="4" t="s">
        <v>80</v>
      </c>
      <c r="B35" s="4"/>
      <c r="C35" s="4"/>
      <c r="D35" s="4"/>
      <c r="E35" s="4"/>
      <c r="F35" s="4"/>
      <c r="G35" s="4"/>
    </row>
    <row r="36" customFormat="false" ht="15.75" hidden="false" customHeight="true" outlineLevel="0" collapsed="false">
      <c r="A36" s="10" t="s">
        <v>81</v>
      </c>
      <c r="B36" s="10" t="s">
        <v>82</v>
      </c>
      <c r="C36" s="10" t="s">
        <v>83</v>
      </c>
      <c r="D36" s="11" t="s">
        <v>13</v>
      </c>
      <c r="E36" s="12" t="n">
        <v>14.5</v>
      </c>
      <c r="F36" s="13" t="n">
        <v>0.3</v>
      </c>
      <c r="G36" s="14" t="n">
        <f aca="false">E36*(1+F36)</f>
        <v>18.85</v>
      </c>
    </row>
    <row r="37" customFormat="false" ht="15.75" hidden="false" customHeight="true" outlineLevel="0" collapsed="false">
      <c r="A37" s="5" t="s">
        <v>84</v>
      </c>
      <c r="B37" s="5" t="s">
        <v>85</v>
      </c>
      <c r="C37" s="5" t="s">
        <v>83</v>
      </c>
      <c r="D37" s="6" t="s">
        <v>13</v>
      </c>
      <c r="E37" s="7" t="n">
        <v>12</v>
      </c>
      <c r="F37" s="8" t="n">
        <v>0.3</v>
      </c>
      <c r="G37" s="9" t="n">
        <f aca="false">E37*(1+F37)</f>
        <v>15.6</v>
      </c>
    </row>
    <row r="38" customFormat="false" ht="15.75" hidden="false" customHeight="true" outlineLevel="0" collapsed="false">
      <c r="A38" s="10" t="s">
        <v>86</v>
      </c>
      <c r="B38" s="10" t="s">
        <v>87</v>
      </c>
      <c r="C38" s="10" t="s">
        <v>83</v>
      </c>
      <c r="D38" s="11" t="s">
        <v>13</v>
      </c>
      <c r="E38" s="12" t="n">
        <v>16</v>
      </c>
      <c r="F38" s="13" t="n">
        <v>0.3</v>
      </c>
      <c r="G38" s="14" t="n">
        <f aca="false">E38*(1+F38)</f>
        <v>20.8</v>
      </c>
    </row>
    <row r="39" customFormat="false" ht="15.75" hidden="false" customHeight="true" outlineLevel="0" collapsed="false">
      <c r="A39" s="5" t="s">
        <v>88</v>
      </c>
      <c r="B39" s="5" t="s">
        <v>89</v>
      </c>
      <c r="C39" s="5" t="s">
        <v>83</v>
      </c>
      <c r="D39" s="6" t="s">
        <v>13</v>
      </c>
      <c r="E39" s="7" t="n">
        <v>8.5</v>
      </c>
      <c r="F39" s="8" t="n">
        <v>0.3</v>
      </c>
      <c r="G39" s="9" t="n">
        <f aca="false">E39*(1+F39)</f>
        <v>11.05</v>
      </c>
    </row>
    <row r="40" customFormat="false" ht="15.75" hidden="false" customHeight="true" outlineLevel="0" collapsed="false">
      <c r="A40" s="10" t="s">
        <v>90</v>
      </c>
      <c r="B40" s="10" t="s">
        <v>91</v>
      </c>
      <c r="C40" s="10" t="s">
        <v>83</v>
      </c>
      <c r="D40" s="11" t="s">
        <v>13</v>
      </c>
      <c r="E40" s="12" t="n">
        <v>7.5</v>
      </c>
      <c r="F40" s="13" t="n">
        <v>0.3</v>
      </c>
      <c r="G40" s="14" t="n">
        <f aca="false">E40*(1+F40)</f>
        <v>9.75</v>
      </c>
    </row>
    <row r="41" customFormat="false" ht="15.75" hidden="false" customHeight="true" outlineLevel="0" collapsed="false">
      <c r="A41" s="5" t="s">
        <v>92</v>
      </c>
      <c r="B41" s="5" t="s">
        <v>93</v>
      </c>
      <c r="C41" s="5" t="s">
        <v>94</v>
      </c>
      <c r="D41" s="6" t="s">
        <v>13</v>
      </c>
      <c r="E41" s="7" t="n">
        <v>18</v>
      </c>
      <c r="F41" s="8" t="n">
        <v>0.3</v>
      </c>
      <c r="G41" s="9" t="n">
        <f aca="false">E41*(1+F41)</f>
        <v>23.4</v>
      </c>
    </row>
    <row r="42" customFormat="false" ht="15.75" hidden="false" customHeight="true" outlineLevel="0" collapsed="false">
      <c r="A42" s="10" t="s">
        <v>95</v>
      </c>
      <c r="B42" s="10" t="s">
        <v>96</v>
      </c>
      <c r="C42" s="10" t="s">
        <v>94</v>
      </c>
      <c r="D42" s="11" t="s">
        <v>13</v>
      </c>
      <c r="E42" s="12" t="n">
        <v>26</v>
      </c>
      <c r="F42" s="13" t="n">
        <v>0.3</v>
      </c>
      <c r="G42" s="14" t="n">
        <f aca="false">E42*(1+F42)</f>
        <v>33.8</v>
      </c>
    </row>
    <row r="43" customFormat="false" ht="15.75" hidden="false" customHeight="true" outlineLevel="0" collapsed="false">
      <c r="A43" s="5" t="s">
        <v>97</v>
      </c>
      <c r="B43" s="5" t="s">
        <v>98</v>
      </c>
      <c r="C43" s="5" t="s">
        <v>94</v>
      </c>
      <c r="D43" s="6" t="s">
        <v>13</v>
      </c>
      <c r="E43" s="7" t="n">
        <v>68</v>
      </c>
      <c r="F43" s="8" t="n">
        <v>0.3</v>
      </c>
      <c r="G43" s="9" t="n">
        <f aca="false">E43*(1+F43)</f>
        <v>88.4</v>
      </c>
    </row>
    <row r="44" customFormat="false" ht="15.75" hidden="false" customHeight="true" outlineLevel="0" collapsed="false">
      <c r="A44" s="10" t="s">
        <v>99</v>
      </c>
      <c r="B44" s="10" t="s">
        <v>100</v>
      </c>
      <c r="C44" s="10" t="s">
        <v>94</v>
      </c>
      <c r="D44" s="11" t="s">
        <v>13</v>
      </c>
      <c r="E44" s="12" t="n">
        <v>18.5</v>
      </c>
      <c r="F44" s="13" t="n">
        <v>0.3</v>
      </c>
      <c r="G44" s="14" t="n">
        <f aca="false">E44*(1+F44)</f>
        <v>24.05</v>
      </c>
    </row>
    <row r="45" customFormat="false" ht="15.75" hidden="false" customHeight="true" outlineLevel="0" collapsed="false">
      <c r="A45" s="5" t="s">
        <v>101</v>
      </c>
      <c r="B45" s="5" t="s">
        <v>102</v>
      </c>
      <c r="C45" s="5" t="s">
        <v>94</v>
      </c>
      <c r="D45" s="6" t="s">
        <v>13</v>
      </c>
      <c r="E45" s="7" t="n">
        <v>22</v>
      </c>
      <c r="F45" s="8" t="n">
        <v>0.3</v>
      </c>
      <c r="G45" s="9" t="n">
        <f aca="false">E45*(1+F45)</f>
        <v>28.6</v>
      </c>
    </row>
    <row r="46" customFormat="false" ht="15.75" hidden="false" customHeight="true" outlineLevel="0" collapsed="false">
      <c r="A46" s="10" t="s">
        <v>103</v>
      </c>
      <c r="B46" s="10" t="s">
        <v>104</v>
      </c>
      <c r="C46" s="10" t="s">
        <v>94</v>
      </c>
      <c r="D46" s="11" t="s">
        <v>13</v>
      </c>
      <c r="E46" s="12" t="n">
        <v>19.5</v>
      </c>
      <c r="F46" s="13" t="n">
        <v>0.3</v>
      </c>
      <c r="G46" s="14" t="n">
        <f aca="false">E46*(1+F46)</f>
        <v>25.35</v>
      </c>
    </row>
    <row r="47" customFormat="false" ht="18" hidden="false" customHeight="true" outlineLevel="0" collapsed="false">
      <c r="A47" s="4" t="s">
        <v>105</v>
      </c>
      <c r="B47" s="4"/>
      <c r="C47" s="4"/>
      <c r="D47" s="4"/>
      <c r="E47" s="4"/>
      <c r="F47" s="4"/>
      <c r="G47" s="4"/>
    </row>
    <row r="48" customFormat="false" ht="15.75" hidden="false" customHeight="true" outlineLevel="0" collapsed="false">
      <c r="A48" s="10" t="s">
        <v>106</v>
      </c>
      <c r="B48" s="10" t="s">
        <v>107</v>
      </c>
      <c r="C48" s="10" t="s">
        <v>108</v>
      </c>
      <c r="D48" s="11" t="s">
        <v>13</v>
      </c>
      <c r="E48" s="12" t="n">
        <v>28</v>
      </c>
      <c r="F48" s="13" t="n">
        <v>0.3</v>
      </c>
      <c r="G48" s="14" t="n">
        <f aca="false">E48*(1+F48)</f>
        <v>36.4</v>
      </c>
    </row>
    <row r="49" customFormat="false" ht="15.75" hidden="false" customHeight="true" outlineLevel="0" collapsed="false">
      <c r="A49" s="5" t="s">
        <v>109</v>
      </c>
      <c r="B49" s="5" t="s">
        <v>110</v>
      </c>
      <c r="C49" s="5" t="s">
        <v>108</v>
      </c>
      <c r="D49" s="6" t="s">
        <v>13</v>
      </c>
      <c r="E49" s="7" t="n">
        <v>48</v>
      </c>
      <c r="F49" s="8" t="n">
        <v>0.3</v>
      </c>
      <c r="G49" s="9" t="n">
        <f aca="false">E49*(1+F49)</f>
        <v>62.4</v>
      </c>
    </row>
    <row r="50" customFormat="false" ht="15.75" hidden="false" customHeight="true" outlineLevel="0" collapsed="false">
      <c r="A50" s="10" t="s">
        <v>111</v>
      </c>
      <c r="B50" s="10" t="s">
        <v>112</v>
      </c>
      <c r="C50" s="10" t="s">
        <v>108</v>
      </c>
      <c r="D50" s="11" t="s">
        <v>13</v>
      </c>
      <c r="E50" s="12" t="n">
        <v>95</v>
      </c>
      <c r="F50" s="13" t="n">
        <v>0.3</v>
      </c>
      <c r="G50" s="14" t="n">
        <f aca="false">E50*(1+F50)</f>
        <v>123.5</v>
      </c>
    </row>
    <row r="51" customFormat="false" ht="15.75" hidden="false" customHeight="true" outlineLevel="0" collapsed="false">
      <c r="A51" s="5" t="s">
        <v>113</v>
      </c>
      <c r="B51" s="5" t="s">
        <v>114</v>
      </c>
      <c r="C51" s="5" t="s">
        <v>108</v>
      </c>
      <c r="D51" s="6" t="s">
        <v>53</v>
      </c>
      <c r="E51" s="7" t="n">
        <v>0.32</v>
      </c>
      <c r="F51" s="8" t="n">
        <v>0.3</v>
      </c>
      <c r="G51" s="9" t="n">
        <f aca="false">E51*(1+F51)</f>
        <v>0.416</v>
      </c>
    </row>
    <row r="52" customFormat="false" ht="15.75" hidden="false" customHeight="true" outlineLevel="0" collapsed="false">
      <c r="A52" s="10" t="s">
        <v>115</v>
      </c>
      <c r="B52" s="10" t="s">
        <v>116</v>
      </c>
      <c r="C52" s="10" t="s">
        <v>108</v>
      </c>
      <c r="D52" s="11" t="s">
        <v>79</v>
      </c>
      <c r="E52" s="12" t="n">
        <v>18</v>
      </c>
      <c r="F52" s="13" t="n">
        <v>0.3</v>
      </c>
      <c r="G52" s="14" t="n">
        <f aca="false">E52*(1+F52)</f>
        <v>23.4</v>
      </c>
    </row>
    <row r="53" customFormat="false" ht="18" hidden="false" customHeight="true" outlineLevel="0" collapsed="false">
      <c r="A53" s="4" t="s">
        <v>117</v>
      </c>
      <c r="B53" s="4"/>
      <c r="C53" s="4"/>
      <c r="D53" s="4"/>
      <c r="E53" s="4"/>
      <c r="F53" s="4"/>
      <c r="G53" s="4"/>
    </row>
    <row r="54" customFormat="false" ht="15.75" hidden="false" customHeight="true" outlineLevel="0" collapsed="false">
      <c r="A54" s="10" t="s">
        <v>118</v>
      </c>
      <c r="B54" s="10" t="s">
        <v>119</v>
      </c>
      <c r="C54" s="10" t="s">
        <v>120</v>
      </c>
      <c r="D54" s="11" t="s">
        <v>13</v>
      </c>
      <c r="E54" s="12" t="n">
        <v>22</v>
      </c>
      <c r="F54" s="13" t="n">
        <v>0.3</v>
      </c>
      <c r="G54" s="14" t="n">
        <f aca="false">E54*(1+F54)</f>
        <v>28.6</v>
      </c>
    </row>
    <row r="55" customFormat="false" ht="15.75" hidden="false" customHeight="true" outlineLevel="0" collapsed="false">
      <c r="A55" s="5" t="s">
        <v>121</v>
      </c>
      <c r="B55" s="5" t="s">
        <v>122</v>
      </c>
      <c r="C55" s="5" t="s">
        <v>120</v>
      </c>
      <c r="D55" s="6" t="s">
        <v>48</v>
      </c>
      <c r="E55" s="7" t="n">
        <v>8.5</v>
      </c>
      <c r="F55" s="8" t="n">
        <v>0.3</v>
      </c>
      <c r="G55" s="9" t="n">
        <f aca="false">E55*(1+F55)</f>
        <v>11.05</v>
      </c>
    </row>
    <row r="56" customFormat="false" ht="15.75" hidden="false" customHeight="true" outlineLevel="0" collapsed="false">
      <c r="A56" s="10" t="s">
        <v>123</v>
      </c>
      <c r="B56" s="10" t="s">
        <v>124</v>
      </c>
      <c r="C56" s="10" t="s">
        <v>120</v>
      </c>
      <c r="D56" s="11" t="s">
        <v>13</v>
      </c>
      <c r="E56" s="12" t="n">
        <v>18</v>
      </c>
      <c r="F56" s="13" t="n">
        <v>0.3</v>
      </c>
      <c r="G56" s="14" t="n">
        <f aca="false">E56*(1+F56)</f>
        <v>23.4</v>
      </c>
    </row>
    <row r="57" customFormat="false" ht="15.75" hidden="false" customHeight="true" outlineLevel="0" collapsed="false">
      <c r="A57" s="5" t="s">
        <v>125</v>
      </c>
      <c r="B57" s="5" t="s">
        <v>126</v>
      </c>
      <c r="C57" s="5" t="s">
        <v>120</v>
      </c>
      <c r="D57" s="6" t="s">
        <v>48</v>
      </c>
      <c r="E57" s="7" t="n">
        <v>4.5</v>
      </c>
      <c r="F57" s="8" t="n">
        <v>0.3</v>
      </c>
      <c r="G57" s="9" t="n">
        <f aca="false">E57*(1+F57)</f>
        <v>5.85</v>
      </c>
    </row>
    <row r="58" customFormat="false" ht="18" hidden="false" customHeight="true" outlineLevel="0" collapsed="false">
      <c r="A58" s="4" t="s">
        <v>127</v>
      </c>
      <c r="B58" s="4"/>
      <c r="C58" s="4"/>
      <c r="D58" s="4"/>
      <c r="E58" s="4"/>
      <c r="F58" s="4"/>
      <c r="G58" s="4"/>
    </row>
    <row r="59" customFormat="false" ht="15.75" hidden="false" customHeight="true" outlineLevel="0" collapsed="false">
      <c r="A59" s="5" t="s">
        <v>128</v>
      </c>
      <c r="B59" s="5" t="s">
        <v>129</v>
      </c>
      <c r="C59" s="5" t="s">
        <v>130</v>
      </c>
      <c r="D59" s="6" t="s">
        <v>13</v>
      </c>
      <c r="E59" s="7" t="n">
        <v>8.5</v>
      </c>
      <c r="F59" s="8" t="n">
        <v>0.3</v>
      </c>
      <c r="G59" s="9" t="n">
        <f aca="false">E59*(1+F59)</f>
        <v>11.05</v>
      </c>
    </row>
    <row r="60" customFormat="false" ht="15.75" hidden="false" customHeight="true" outlineLevel="0" collapsed="false">
      <c r="A60" s="10" t="s">
        <v>131</v>
      </c>
      <c r="B60" s="10" t="s">
        <v>132</v>
      </c>
      <c r="C60" s="10" t="s">
        <v>130</v>
      </c>
      <c r="D60" s="11" t="s">
        <v>13</v>
      </c>
      <c r="E60" s="12" t="n">
        <v>12</v>
      </c>
      <c r="F60" s="13" t="n">
        <v>0.3</v>
      </c>
      <c r="G60" s="14" t="n">
        <f aca="false">E60*(1+F60)</f>
        <v>15.6</v>
      </c>
    </row>
    <row r="61" customFormat="false" ht="15.75" hidden="false" customHeight="true" outlineLevel="0" collapsed="false">
      <c r="A61" s="5" t="s">
        <v>133</v>
      </c>
      <c r="B61" s="5" t="s">
        <v>134</v>
      </c>
      <c r="C61" s="5" t="s">
        <v>130</v>
      </c>
      <c r="D61" s="6" t="s">
        <v>135</v>
      </c>
      <c r="E61" s="7" t="n">
        <v>6.5</v>
      </c>
      <c r="F61" s="8" t="n">
        <v>0.3</v>
      </c>
      <c r="G61" s="9" t="n">
        <f aca="false">E61*(1+F61)</f>
        <v>8.45</v>
      </c>
    </row>
    <row r="62" customFormat="false" ht="15.75" hidden="false" customHeight="true" outlineLevel="0" collapsed="false">
      <c r="A62" s="10" t="s">
        <v>136</v>
      </c>
      <c r="B62" s="10" t="s">
        <v>137</v>
      </c>
      <c r="C62" s="10" t="s">
        <v>130</v>
      </c>
      <c r="D62" s="11" t="s">
        <v>13</v>
      </c>
      <c r="E62" s="12" t="n">
        <v>12</v>
      </c>
      <c r="F62" s="13" t="n">
        <v>0.3</v>
      </c>
      <c r="G62" s="14" t="n">
        <f aca="false">E62*(1+F62)</f>
        <v>15.6</v>
      </c>
    </row>
    <row r="63" customFormat="false" ht="15.75" hidden="false" customHeight="true" outlineLevel="0" collapsed="false">
      <c r="A63" s="5" t="s">
        <v>138</v>
      </c>
      <c r="B63" s="5" t="s">
        <v>139</v>
      </c>
      <c r="C63" s="5" t="s">
        <v>130</v>
      </c>
      <c r="D63" s="6" t="s">
        <v>140</v>
      </c>
      <c r="E63" s="7" t="n">
        <v>15</v>
      </c>
      <c r="F63" s="8" t="n">
        <v>0.3</v>
      </c>
      <c r="G63" s="9" t="n">
        <f aca="false">E63*(1+F63)</f>
        <v>19.5</v>
      </c>
    </row>
    <row r="64" customFormat="false" ht="15.75" hidden="false" customHeight="true" outlineLevel="0" collapsed="false">
      <c r="A64" s="10" t="s">
        <v>141</v>
      </c>
      <c r="B64" s="10" t="s">
        <v>142</v>
      </c>
      <c r="C64" s="10" t="s">
        <v>130</v>
      </c>
      <c r="D64" s="11" t="s">
        <v>140</v>
      </c>
      <c r="E64" s="12" t="n">
        <v>18</v>
      </c>
      <c r="F64" s="13" t="n">
        <v>0.3</v>
      </c>
      <c r="G64" s="14" t="n">
        <f aca="false">E64*(1+F64)</f>
        <v>23.4</v>
      </c>
    </row>
    <row r="65" customFormat="false" ht="15.75" hidden="false" customHeight="true" outlineLevel="0" collapsed="false">
      <c r="A65" s="5" t="s">
        <v>143</v>
      </c>
      <c r="B65" s="5" t="s">
        <v>144</v>
      </c>
      <c r="C65" s="5" t="s">
        <v>130</v>
      </c>
      <c r="D65" s="6" t="s">
        <v>140</v>
      </c>
      <c r="E65" s="7" t="n">
        <v>22</v>
      </c>
      <c r="F65" s="8" t="n">
        <v>0.3</v>
      </c>
      <c r="G65" s="9" t="n">
        <f aca="false">E65*(1+F65)</f>
        <v>28.6</v>
      </c>
    </row>
  </sheetData>
  <mergeCells count="11">
    <mergeCell ref="A1:G1"/>
    <mergeCell ref="A2:G2"/>
    <mergeCell ref="A4:G4"/>
    <mergeCell ref="A11:G11"/>
    <mergeCell ref="A15:G15"/>
    <mergeCell ref="A20:G20"/>
    <mergeCell ref="A28:G28"/>
    <mergeCell ref="A35:G35"/>
    <mergeCell ref="A47:G47"/>
    <mergeCell ref="A53:G53"/>
    <mergeCell ref="A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25.5" hidden="false" customHeight="true" outlineLevel="0" collapsed="false">
      <c r="A1" s="15" t="s">
        <v>145</v>
      </c>
      <c r="B1" s="15"/>
      <c r="C1" s="15"/>
      <c r="D1" s="15"/>
      <c r="E1" s="15"/>
      <c r="F1" s="15"/>
    </row>
    <row r="2" customFormat="false" ht="15.75" hidden="false" customHeight="true" outlineLevel="0" collapsed="false">
      <c r="A2" s="2" t="s">
        <v>146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147</v>
      </c>
      <c r="B3" s="3" t="s">
        <v>2</v>
      </c>
      <c r="C3" s="3" t="s">
        <v>148</v>
      </c>
      <c r="D3" s="3" t="s">
        <v>5</v>
      </c>
      <c r="E3" s="3" t="s">
        <v>149</v>
      </c>
      <c r="F3" s="3" t="s">
        <v>150</v>
      </c>
    </row>
    <row r="4" customFormat="false" ht="18" hidden="false" customHeight="true" outlineLevel="0" collapsed="false">
      <c r="A4" s="4" t="s">
        <v>151</v>
      </c>
      <c r="B4" s="4"/>
      <c r="C4" s="4"/>
      <c r="D4" s="4"/>
      <c r="E4" s="4"/>
      <c r="F4" s="4"/>
    </row>
    <row r="5" customFormat="false" ht="15.75" hidden="false" customHeight="true" outlineLevel="0" collapsed="false">
      <c r="A5" s="5" t="s">
        <v>152</v>
      </c>
      <c r="B5" s="5" t="s">
        <v>14</v>
      </c>
      <c r="C5" s="6" t="n">
        <v>1</v>
      </c>
      <c r="D5" s="6" t="s">
        <v>13</v>
      </c>
      <c r="E5" s="16" t="n">
        <f aca="false">IFERROR(VLOOKUP(B5,'HVAC Price List'!$A:$E,5,0)*C5,"—")</f>
        <v>1240</v>
      </c>
      <c r="F5" s="5" t="s">
        <v>153</v>
      </c>
    </row>
    <row r="6" customFormat="false" ht="15.75" hidden="false" customHeight="true" outlineLevel="0" collapsed="false">
      <c r="A6" s="10" t="s">
        <v>152</v>
      </c>
      <c r="B6" s="10" t="s">
        <v>33</v>
      </c>
      <c r="C6" s="11" t="n">
        <v>1</v>
      </c>
      <c r="D6" s="11" t="s">
        <v>36</v>
      </c>
      <c r="E6" s="17" t="n">
        <f aca="false">IFERROR(VLOOKUP(B6,'HVAC Price List'!$A:$E,5,0)*C6,"—")</f>
        <v>148</v>
      </c>
      <c r="F6" s="10" t="s">
        <v>154</v>
      </c>
    </row>
    <row r="7" customFormat="false" ht="15.75" hidden="false" customHeight="true" outlineLevel="0" collapsed="false">
      <c r="A7" s="5" t="s">
        <v>152</v>
      </c>
      <c r="B7" s="5" t="s">
        <v>40</v>
      </c>
      <c r="C7" s="6" t="n">
        <v>1</v>
      </c>
      <c r="D7" s="6" t="s">
        <v>13</v>
      </c>
      <c r="E7" s="16" t="n">
        <f aca="false">IFERROR(VLOOKUP(B7,'HVAC Price List'!$A:$E,5,0)*C7,"—")</f>
        <v>45</v>
      </c>
      <c r="F7" s="5" t="s">
        <v>155</v>
      </c>
    </row>
    <row r="8" customFormat="false" ht="15.75" hidden="false" customHeight="true" outlineLevel="0" collapsed="false">
      <c r="A8" s="10" t="s">
        <v>152</v>
      </c>
      <c r="B8" s="10" t="s">
        <v>56</v>
      </c>
      <c r="C8" s="11" t="n">
        <v>1</v>
      </c>
      <c r="D8" s="11" t="s">
        <v>58</v>
      </c>
      <c r="E8" s="17" t="n">
        <f aca="false">IFERROR(VLOOKUP(B8,'HVAC Price List'!$A:$E,5,0)*C8,"—")</f>
        <v>38</v>
      </c>
      <c r="F8" s="10" t="s">
        <v>156</v>
      </c>
    </row>
    <row r="9" customFormat="false" ht="15.75" hidden="false" customHeight="true" outlineLevel="0" collapsed="false">
      <c r="A9" s="5" t="s">
        <v>152</v>
      </c>
      <c r="B9" s="5" t="s">
        <v>65</v>
      </c>
      <c r="C9" s="6" t="n">
        <v>1</v>
      </c>
      <c r="D9" s="6" t="s">
        <v>13</v>
      </c>
      <c r="E9" s="16" t="n">
        <f aca="false">IFERROR(VLOOKUP(B9,'HVAC Price List'!$A:$E,5,0)*C9,"—")</f>
        <v>34</v>
      </c>
      <c r="F9" s="5" t="s">
        <v>157</v>
      </c>
    </row>
    <row r="10" customFormat="false" ht="15.75" hidden="false" customHeight="true" outlineLevel="0" collapsed="false">
      <c r="A10" s="10" t="s">
        <v>152</v>
      </c>
      <c r="B10" s="10" t="s">
        <v>70</v>
      </c>
      <c r="C10" s="11" t="n">
        <v>1</v>
      </c>
      <c r="D10" s="11" t="s">
        <v>72</v>
      </c>
      <c r="E10" s="17" t="n">
        <f aca="false">IFERROR(VLOOKUP(B10,'HVAC Price List'!$A:$E,5,0)*C10,"—")</f>
        <v>8.5</v>
      </c>
      <c r="F10" s="10" t="s">
        <v>158</v>
      </c>
    </row>
    <row r="11" customFormat="false" ht="15.75" hidden="false" customHeight="true" outlineLevel="0" collapsed="false">
      <c r="A11" s="5" t="s">
        <v>152</v>
      </c>
      <c r="B11" s="5" t="s">
        <v>99</v>
      </c>
      <c r="C11" s="6" t="n">
        <v>1</v>
      </c>
      <c r="D11" s="6" t="s">
        <v>13</v>
      </c>
      <c r="E11" s="16" t="n">
        <f aca="false">IFERROR(VLOOKUP(B11,'HVAC Price List'!$A:$E,5,0)*C11,"—")</f>
        <v>18.5</v>
      </c>
      <c r="F11" s="5" t="s">
        <v>159</v>
      </c>
    </row>
    <row r="12" customFormat="false" ht="15.75" hidden="false" customHeight="true" outlineLevel="0" collapsed="false">
      <c r="A12" s="10" t="s">
        <v>152</v>
      </c>
      <c r="B12" s="10" t="s">
        <v>121</v>
      </c>
      <c r="C12" s="11" t="n">
        <v>1</v>
      </c>
      <c r="D12" s="11" t="s">
        <v>48</v>
      </c>
      <c r="E12" s="17" t="n">
        <f aca="false">IFERROR(VLOOKUP(B12,'HVAC Price List'!$A:$E,5,0)*C12,"—")</f>
        <v>8.5</v>
      </c>
      <c r="F12" s="10" t="s">
        <v>160</v>
      </c>
    </row>
    <row r="13" customFormat="false" ht="15.75" hidden="false" customHeight="true" outlineLevel="0" collapsed="false">
      <c r="A13" s="5" t="s">
        <v>152</v>
      </c>
      <c r="B13" s="5" t="s">
        <v>123</v>
      </c>
      <c r="C13" s="6" t="n">
        <v>1</v>
      </c>
      <c r="D13" s="6" t="s">
        <v>13</v>
      </c>
      <c r="E13" s="16" t="n">
        <f aca="false">IFERROR(VLOOKUP(B13,'HVAC Price List'!$A:$E,5,0)*C13,"—")</f>
        <v>18</v>
      </c>
      <c r="F13" s="5" t="s">
        <v>161</v>
      </c>
    </row>
    <row r="14" customFormat="false" ht="15.75" hidden="false" customHeight="true" outlineLevel="0" collapsed="false">
      <c r="A14" s="10" t="s">
        <v>152</v>
      </c>
      <c r="B14" s="10" t="s">
        <v>128</v>
      </c>
      <c r="C14" s="11" t="n">
        <v>1</v>
      </c>
      <c r="D14" s="11" t="s">
        <v>13</v>
      </c>
      <c r="E14" s="17" t="n">
        <f aca="false">IFERROR(VLOOKUP(B14,'HVAC Price List'!$A:$E,5,0)*C14,"—")</f>
        <v>8.5</v>
      </c>
      <c r="F14" s="10" t="s">
        <v>162</v>
      </c>
    </row>
    <row r="15" customFormat="false" ht="15.75" hidden="false" customHeight="true" outlineLevel="0" collapsed="false">
      <c r="A15" s="5" t="s">
        <v>152</v>
      </c>
      <c r="B15" s="5" t="s">
        <v>133</v>
      </c>
      <c r="C15" s="6" t="n">
        <v>1</v>
      </c>
      <c r="D15" s="6" t="s">
        <v>135</v>
      </c>
      <c r="E15" s="16" t="n">
        <f aca="false">IFERROR(VLOOKUP(B15,'HVAC Price List'!$A:$E,5,0)*C15,"—")</f>
        <v>6.5</v>
      </c>
      <c r="F15" s="5" t="s">
        <v>163</v>
      </c>
    </row>
    <row r="16" customFormat="false" ht="15.75" hidden="false" customHeight="true" outlineLevel="0" collapsed="false">
      <c r="A16" s="10" t="s">
        <v>152</v>
      </c>
      <c r="B16" s="10" t="s">
        <v>136</v>
      </c>
      <c r="C16" s="11" t="n">
        <v>1</v>
      </c>
      <c r="D16" s="11" t="s">
        <v>13</v>
      </c>
      <c r="E16" s="17" t="n">
        <f aca="false">IFERROR(VLOOKUP(B16,'HVAC Price List'!$A:$E,5,0)*C16,"—")</f>
        <v>12</v>
      </c>
      <c r="F16" s="10" t="s">
        <v>164</v>
      </c>
    </row>
    <row r="17" customFormat="false" ht="15.75" hidden="false" customHeight="true" outlineLevel="0" collapsed="false">
      <c r="A17" s="5" t="s">
        <v>152</v>
      </c>
      <c r="B17" s="5" t="s">
        <v>62</v>
      </c>
      <c r="C17" s="6" t="n">
        <v>1</v>
      </c>
      <c r="D17" s="6" t="s">
        <v>13</v>
      </c>
      <c r="E17" s="16" t="n">
        <f aca="false">IFERROR(VLOOKUP(B17,'HVAC Price List'!$A:$E,5,0)*C17,"—")</f>
        <v>28</v>
      </c>
      <c r="F17" s="5" t="s">
        <v>165</v>
      </c>
    </row>
    <row r="18" customFormat="false" ht="18" hidden="false" customHeight="true" outlineLevel="0" collapsed="false">
      <c r="A18" s="4" t="s">
        <v>166</v>
      </c>
      <c r="B18" s="4"/>
      <c r="C18" s="4"/>
      <c r="D18" s="4"/>
      <c r="E18" s="4"/>
      <c r="F18" s="4"/>
    </row>
    <row r="19" customFormat="false" ht="15.75" hidden="false" customHeight="true" outlineLevel="0" collapsed="false">
      <c r="A19" s="5" t="s">
        <v>167</v>
      </c>
      <c r="B19" s="5" t="s">
        <v>81</v>
      </c>
      <c r="C19" s="6" t="n">
        <v>1</v>
      </c>
      <c r="D19" s="6" t="s">
        <v>13</v>
      </c>
      <c r="E19" s="16" t="n">
        <f aca="false">IFERROR(VLOOKUP(B19,'HVAC Price List'!$A:$E,5,0)*C19,"—")</f>
        <v>14.5</v>
      </c>
      <c r="F19" s="5" t="s">
        <v>168</v>
      </c>
    </row>
    <row r="20" customFormat="false" ht="15.75" hidden="false" customHeight="true" outlineLevel="0" collapsed="false">
      <c r="A20" s="10" t="s">
        <v>167</v>
      </c>
      <c r="B20" s="10" t="s">
        <v>136</v>
      </c>
      <c r="C20" s="11" t="n">
        <v>1</v>
      </c>
      <c r="D20" s="11" t="s">
        <v>13</v>
      </c>
      <c r="E20" s="17" t="n">
        <f aca="false">IFERROR(VLOOKUP(B20,'HVAC Price List'!$A:$E,5,0)*C20,"—")</f>
        <v>12</v>
      </c>
      <c r="F20" s="10" t="s">
        <v>169</v>
      </c>
    </row>
    <row r="21" customFormat="false" ht="18" hidden="false" customHeight="true" outlineLevel="0" collapsed="false">
      <c r="A21" s="4" t="s">
        <v>170</v>
      </c>
      <c r="B21" s="4"/>
      <c r="C21" s="4"/>
      <c r="D21" s="4"/>
      <c r="E21" s="4"/>
      <c r="F21" s="4"/>
    </row>
    <row r="22" customFormat="false" ht="15.75" hidden="false" customHeight="true" outlineLevel="0" collapsed="false">
      <c r="A22" s="10" t="s">
        <v>171</v>
      </c>
      <c r="B22" s="10" t="s">
        <v>111</v>
      </c>
      <c r="C22" s="11" t="n">
        <v>1</v>
      </c>
      <c r="D22" s="11" t="s">
        <v>13</v>
      </c>
      <c r="E22" s="17" t="n">
        <f aca="false">IFERROR(VLOOKUP(B22,'HVAC Price List'!$A:$E,5,0)*C22,"—")</f>
        <v>95</v>
      </c>
      <c r="F22" s="10" t="s">
        <v>172</v>
      </c>
    </row>
    <row r="23" customFormat="false" ht="15.75" hidden="false" customHeight="true" outlineLevel="0" collapsed="false">
      <c r="A23" s="5" t="s">
        <v>171</v>
      </c>
      <c r="B23" s="5" t="s">
        <v>115</v>
      </c>
      <c r="C23" s="6" t="n">
        <v>1</v>
      </c>
      <c r="D23" s="6" t="s">
        <v>79</v>
      </c>
      <c r="E23" s="16" t="n">
        <f aca="false">IFERROR(VLOOKUP(B23,'HVAC Price List'!$A:$E,5,0)*C23,"—")</f>
        <v>18</v>
      </c>
      <c r="F23" s="5" t="s">
        <v>173</v>
      </c>
    </row>
    <row r="24" customFormat="false" ht="18" hidden="false" customHeight="true" outlineLevel="0" collapsed="false">
      <c r="A24" s="4" t="s">
        <v>174</v>
      </c>
      <c r="B24" s="4"/>
      <c r="C24" s="4"/>
      <c r="D24" s="4"/>
      <c r="E24" s="4"/>
      <c r="F24" s="4"/>
    </row>
    <row r="25" customFormat="false" ht="15.75" hidden="false" customHeight="true" outlineLevel="0" collapsed="false">
      <c r="A25" s="5" t="s">
        <v>175</v>
      </c>
      <c r="B25" s="5" t="s">
        <v>81</v>
      </c>
      <c r="C25" s="6" t="n">
        <v>1</v>
      </c>
      <c r="D25" s="6" t="s">
        <v>13</v>
      </c>
      <c r="E25" s="16" t="n">
        <f aca="false">IFERROR(VLOOKUP(B25,'HVAC Price List'!$A:$E,5,0)*C25,"—")</f>
        <v>14.5</v>
      </c>
      <c r="F25" s="5" t="s">
        <v>176</v>
      </c>
    </row>
    <row r="26" customFormat="false" ht="15.75" hidden="false" customHeight="true" outlineLevel="0" collapsed="false">
      <c r="A26" s="10" t="s">
        <v>175</v>
      </c>
      <c r="B26" s="10" t="s">
        <v>92</v>
      </c>
      <c r="C26" s="11" t="n">
        <v>1</v>
      </c>
      <c r="D26" s="11" t="s">
        <v>13</v>
      </c>
      <c r="E26" s="17" t="n">
        <f aca="false">IFERROR(VLOOKUP(B26,'HVAC Price List'!$A:$E,5,0)*C26,"—")</f>
        <v>18</v>
      </c>
      <c r="F26" s="10" t="s">
        <v>177</v>
      </c>
    </row>
    <row r="27" customFormat="false" ht="15.75" hidden="false" customHeight="true" outlineLevel="0" collapsed="false">
      <c r="A27" s="5" t="s">
        <v>175</v>
      </c>
      <c r="B27" s="5" t="s">
        <v>136</v>
      </c>
      <c r="C27" s="6" t="n">
        <v>1</v>
      </c>
      <c r="D27" s="6" t="s">
        <v>13</v>
      </c>
      <c r="E27" s="16" t="n">
        <f aca="false">IFERROR(VLOOKUP(B27,'HVAC Price List'!$A:$E,5,0)*C27,"—")</f>
        <v>12</v>
      </c>
      <c r="F27" s="5" t="s">
        <v>178</v>
      </c>
    </row>
    <row r="28" customFormat="false" ht="15.75" hidden="false" customHeight="true" outlineLevel="0" collapsed="false">
      <c r="A28" s="10" t="s">
        <v>175</v>
      </c>
      <c r="B28" s="10" t="s">
        <v>37</v>
      </c>
      <c r="C28" s="11" t="n">
        <v>2</v>
      </c>
      <c r="D28" s="11" t="s">
        <v>39</v>
      </c>
      <c r="E28" s="17" t="n">
        <f aca="false">IFERROR(VLOOKUP(B28,'HVAC Price List'!$A:$E,5,0)*C28,"—")</f>
        <v>12.4</v>
      </c>
      <c r="F28" s="10" t="s">
        <v>179</v>
      </c>
    </row>
  </sheetData>
  <mergeCells count="6">
    <mergeCell ref="A1:F1"/>
    <mergeCell ref="A2:F2"/>
    <mergeCell ref="A4:F4"/>
    <mergeCell ref="A18:F18"/>
    <mergeCell ref="A21:F21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5" t="s">
        <v>180</v>
      </c>
      <c r="B1" s="15"/>
      <c r="C1" s="15"/>
      <c r="D1" s="15"/>
      <c r="E1" s="15"/>
      <c r="F1" s="15"/>
      <c r="G1" s="15"/>
    </row>
    <row r="2" customFormat="false" ht="15.75" hidden="false" customHeight="true" outlineLevel="0" collapsed="false">
      <c r="A2" s="18" t="s">
        <v>181</v>
      </c>
      <c r="B2" s="19" t="s">
        <v>182</v>
      </c>
      <c r="C2" s="19"/>
      <c r="D2" s="19"/>
      <c r="E2" s="19"/>
      <c r="F2" s="19"/>
      <c r="G2" s="19"/>
    </row>
    <row r="3" customFormat="false" ht="15.75" hidden="false" customHeight="true" outlineLevel="0" collapsed="false">
      <c r="A3" s="18" t="s">
        <v>183</v>
      </c>
      <c r="B3" s="19" t="s">
        <v>184</v>
      </c>
      <c r="C3" s="19"/>
      <c r="D3" s="19"/>
      <c r="E3" s="19"/>
      <c r="F3" s="19"/>
      <c r="G3" s="19"/>
    </row>
    <row r="4" customFormat="false" ht="15.75" hidden="false" customHeight="true" outlineLevel="0" collapsed="false">
      <c r="A4" s="18" t="s">
        <v>185</v>
      </c>
      <c r="B4" s="19" t="s">
        <v>186</v>
      </c>
      <c r="C4" s="19"/>
      <c r="D4" s="19"/>
      <c r="E4" s="19"/>
      <c r="F4" s="19"/>
      <c r="G4" s="19"/>
    </row>
    <row r="5" customFormat="false" ht="15.75" hidden="false" customHeight="true" outlineLevel="0" collapsed="false">
      <c r="A5" s="18" t="s">
        <v>187</v>
      </c>
      <c r="B5" s="19" t="s">
        <v>188</v>
      </c>
      <c r="C5" s="19"/>
      <c r="D5" s="19"/>
      <c r="E5" s="19"/>
      <c r="F5" s="19"/>
      <c r="G5" s="19"/>
    </row>
    <row r="6" customFormat="false" ht="15.75" hidden="false" customHeight="true" outlineLevel="0" collapsed="false">
      <c r="A6" s="18" t="s">
        <v>189</v>
      </c>
      <c r="B6" s="19" t="s">
        <v>190</v>
      </c>
      <c r="C6" s="19"/>
      <c r="D6" s="19"/>
      <c r="E6" s="19"/>
      <c r="F6" s="19"/>
      <c r="G6" s="19"/>
    </row>
    <row r="7" customFormat="false" ht="15.75" hidden="false" customHeight="true" outlineLevel="0" collapsed="false">
      <c r="A7" s="18" t="s">
        <v>191</v>
      </c>
      <c r="B7" s="19" t="s">
        <v>192</v>
      </c>
      <c r="C7" s="19"/>
      <c r="D7" s="19"/>
      <c r="E7" s="19"/>
      <c r="F7" s="19"/>
      <c r="G7" s="19"/>
    </row>
    <row r="9" customFormat="false" ht="19.5" hidden="false" customHeight="true" outlineLevel="0" collapsed="false">
      <c r="A9" s="3" t="s">
        <v>2</v>
      </c>
      <c r="B9" s="3" t="s">
        <v>3</v>
      </c>
      <c r="C9" s="3" t="s">
        <v>193</v>
      </c>
      <c r="D9" s="3" t="s">
        <v>5</v>
      </c>
      <c r="E9" s="3" t="s">
        <v>6</v>
      </c>
      <c r="F9" s="3" t="s">
        <v>194</v>
      </c>
      <c r="G9" s="3" t="s">
        <v>195</v>
      </c>
    </row>
    <row r="10" customFormat="false" ht="15.75" hidden="false" customHeight="true" outlineLevel="0" collapsed="false">
      <c r="A10" s="10" t="s">
        <v>14</v>
      </c>
      <c r="B10" s="10" t="s">
        <v>15</v>
      </c>
      <c r="C10" s="11" t="n">
        <v>1</v>
      </c>
      <c r="D10" s="11" t="s">
        <v>13</v>
      </c>
      <c r="E10" s="12" t="n">
        <v>1240</v>
      </c>
      <c r="F10" s="17" t="n">
        <f aca="false">C10*E10</f>
        <v>1240</v>
      </c>
      <c r="G10" s="10" t="s">
        <v>196</v>
      </c>
    </row>
    <row r="11" customFormat="false" ht="15.75" hidden="false" customHeight="true" outlineLevel="0" collapsed="false">
      <c r="A11" s="5" t="s">
        <v>33</v>
      </c>
      <c r="B11" s="5" t="s">
        <v>34</v>
      </c>
      <c r="C11" s="6" t="n">
        <v>1</v>
      </c>
      <c r="D11" s="6" t="s">
        <v>36</v>
      </c>
      <c r="E11" s="7" t="n">
        <v>148</v>
      </c>
      <c r="F11" s="16" t="n">
        <f aca="false">C11*E11</f>
        <v>148</v>
      </c>
      <c r="G11" s="5" t="s">
        <v>196</v>
      </c>
    </row>
    <row r="12" customFormat="false" ht="15.75" hidden="false" customHeight="true" outlineLevel="0" collapsed="false">
      <c r="A12" s="10" t="s">
        <v>40</v>
      </c>
      <c r="B12" s="10" t="s">
        <v>197</v>
      </c>
      <c r="C12" s="11" t="n">
        <v>1</v>
      </c>
      <c r="D12" s="11" t="s">
        <v>13</v>
      </c>
      <c r="E12" s="12" t="n">
        <v>45</v>
      </c>
      <c r="F12" s="17" t="n">
        <f aca="false">C12*E12</f>
        <v>45</v>
      </c>
      <c r="G12" s="10" t="s">
        <v>196</v>
      </c>
    </row>
    <row r="13" customFormat="false" ht="15.75" hidden="false" customHeight="true" outlineLevel="0" collapsed="false">
      <c r="A13" s="5" t="s">
        <v>56</v>
      </c>
      <c r="B13" s="5" t="s">
        <v>57</v>
      </c>
      <c r="C13" s="6" t="n">
        <v>1</v>
      </c>
      <c r="D13" s="6" t="s">
        <v>58</v>
      </c>
      <c r="E13" s="7" t="n">
        <v>38</v>
      </c>
      <c r="F13" s="16" t="n">
        <f aca="false">C13*E13</f>
        <v>38</v>
      </c>
      <c r="G13" s="5" t="s">
        <v>196</v>
      </c>
    </row>
    <row r="14" customFormat="false" ht="15.75" hidden="false" customHeight="true" outlineLevel="0" collapsed="false">
      <c r="A14" s="10" t="s">
        <v>65</v>
      </c>
      <c r="B14" s="10" t="s">
        <v>66</v>
      </c>
      <c r="C14" s="11" t="n">
        <v>1</v>
      </c>
      <c r="D14" s="11" t="s">
        <v>13</v>
      </c>
      <c r="E14" s="12" t="n">
        <v>34</v>
      </c>
      <c r="F14" s="17" t="n">
        <f aca="false">C14*E14</f>
        <v>34</v>
      </c>
      <c r="G14" s="20" t="s">
        <v>198</v>
      </c>
    </row>
    <row r="15" customFormat="false" ht="15.75" hidden="false" customHeight="true" outlineLevel="0" collapsed="false">
      <c r="A15" s="5" t="s">
        <v>70</v>
      </c>
      <c r="B15" s="5" t="s">
        <v>71</v>
      </c>
      <c r="C15" s="6" t="n">
        <v>1</v>
      </c>
      <c r="D15" s="6" t="s">
        <v>72</v>
      </c>
      <c r="E15" s="7" t="n">
        <v>8.5</v>
      </c>
      <c r="F15" s="16" t="n">
        <f aca="false">C15*E15</f>
        <v>8.5</v>
      </c>
      <c r="G15" s="5" t="s">
        <v>196</v>
      </c>
    </row>
    <row r="16" customFormat="false" ht="15.75" hidden="false" customHeight="true" outlineLevel="0" collapsed="false">
      <c r="A16" s="10" t="s">
        <v>51</v>
      </c>
      <c r="B16" s="10" t="s">
        <v>52</v>
      </c>
      <c r="C16" s="11" t="n">
        <v>10</v>
      </c>
      <c r="D16" s="11" t="s">
        <v>53</v>
      </c>
      <c r="E16" s="12" t="n">
        <v>0.85</v>
      </c>
      <c r="F16" s="17" t="n">
        <f aca="false">C16*E16</f>
        <v>8.5</v>
      </c>
      <c r="G16" s="10" t="s">
        <v>196</v>
      </c>
    </row>
    <row r="17" customFormat="false" ht="15.75" hidden="false" customHeight="true" outlineLevel="0" collapsed="false">
      <c r="A17" s="5" t="s">
        <v>123</v>
      </c>
      <c r="B17" s="5" t="s">
        <v>124</v>
      </c>
      <c r="C17" s="6" t="n">
        <v>1</v>
      </c>
      <c r="D17" s="6" t="s">
        <v>13</v>
      </c>
      <c r="E17" s="7" t="n">
        <v>18</v>
      </c>
      <c r="F17" s="16" t="n">
        <f aca="false">C17*E17</f>
        <v>18</v>
      </c>
      <c r="G17" s="5" t="s">
        <v>196</v>
      </c>
    </row>
    <row r="18" customFormat="false" ht="15.75" hidden="false" customHeight="true" outlineLevel="0" collapsed="false">
      <c r="A18" s="10" t="s">
        <v>99</v>
      </c>
      <c r="B18" s="10" t="s">
        <v>199</v>
      </c>
      <c r="C18" s="11" t="n">
        <v>1</v>
      </c>
      <c r="D18" s="11" t="s">
        <v>13</v>
      </c>
      <c r="E18" s="12" t="n">
        <v>18.5</v>
      </c>
      <c r="F18" s="17" t="n">
        <f aca="false">C18*E18</f>
        <v>18.5</v>
      </c>
      <c r="G18" s="10" t="s">
        <v>196</v>
      </c>
    </row>
    <row r="19" customFormat="false" ht="15.75" hidden="false" customHeight="true" outlineLevel="0" collapsed="false">
      <c r="A19" s="5" t="s">
        <v>136</v>
      </c>
      <c r="B19" s="5" t="s">
        <v>137</v>
      </c>
      <c r="C19" s="6" t="n">
        <v>1</v>
      </c>
      <c r="D19" s="6" t="s">
        <v>13</v>
      </c>
      <c r="E19" s="7" t="n">
        <v>12</v>
      </c>
      <c r="F19" s="16" t="n">
        <f aca="false">C19*E19</f>
        <v>12</v>
      </c>
      <c r="G19" s="5" t="s">
        <v>196</v>
      </c>
    </row>
    <row r="20" customFormat="false" ht="15.75" hidden="false" customHeight="true" outlineLevel="0" collapsed="false">
      <c r="A20" s="10" t="s">
        <v>128</v>
      </c>
      <c r="B20" s="10" t="s">
        <v>129</v>
      </c>
      <c r="C20" s="11" t="n">
        <v>1</v>
      </c>
      <c r="D20" s="11" t="s">
        <v>13</v>
      </c>
      <c r="E20" s="12" t="n">
        <v>8.5</v>
      </c>
      <c r="F20" s="17" t="n">
        <f aca="false">C20*E20</f>
        <v>8.5</v>
      </c>
      <c r="G20" s="10" t="s">
        <v>196</v>
      </c>
    </row>
    <row r="21" customFormat="false" ht="15.75" hidden="false" customHeight="true" outlineLevel="0" collapsed="false">
      <c r="A21" s="5" t="s">
        <v>133</v>
      </c>
      <c r="B21" s="5" t="s">
        <v>134</v>
      </c>
      <c r="C21" s="6" t="n">
        <v>1</v>
      </c>
      <c r="D21" s="6" t="s">
        <v>135</v>
      </c>
      <c r="E21" s="7" t="n">
        <v>6.5</v>
      </c>
      <c r="F21" s="16" t="n">
        <f aca="false">C21*E21</f>
        <v>6.5</v>
      </c>
      <c r="G21" s="5" t="s">
        <v>196</v>
      </c>
    </row>
    <row r="22" customFormat="false" ht="21.75" hidden="false" customHeight="true" outlineLevel="0" collapsed="false">
      <c r="A22" s="21" t="s">
        <v>200</v>
      </c>
      <c r="B22" s="21"/>
      <c r="C22" s="21"/>
      <c r="D22" s="21"/>
      <c r="E22" s="21"/>
      <c r="F22" s="22" t="n">
        <f aca="false">SUM(F10:F21)</f>
        <v>1585.5</v>
      </c>
      <c r="G22" s="23" t="s">
        <v>201</v>
      </c>
    </row>
    <row r="24" customFormat="false" ht="15" hidden="false" customHeight="false" outlineLevel="0" collapsed="false">
      <c r="A24" s="24" t="s">
        <v>202</v>
      </c>
      <c r="B24" s="24"/>
      <c r="C24" s="24"/>
      <c r="D24" s="24"/>
      <c r="E24" s="24"/>
      <c r="F24" s="24"/>
      <c r="G24" s="24"/>
    </row>
  </sheetData>
  <mergeCells count="9">
    <mergeCell ref="A1:G1"/>
    <mergeCell ref="B2:G2"/>
    <mergeCell ref="B3:G3"/>
    <mergeCell ref="B4:G4"/>
    <mergeCell ref="B5:G5"/>
    <mergeCell ref="B6:G6"/>
    <mergeCell ref="B7:G7"/>
    <mergeCell ref="A22:E2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2026-06-21T19:45:32Z</dcterms:created>
  <dc:creator>openpyxl</dc:creator>
  <dc:description/>
  <dc:language>en-US</dc:language>
  <cp:lastModifiedBy/>
  <dcterms:modified xsi:type="dcterms:W3CDTF">2026-06-21T19:45:32Z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